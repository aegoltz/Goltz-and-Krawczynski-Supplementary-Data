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oltz/Library/CloudStorage/GoogleDrive-agoltz@carnegiescience.edu/My Drive/Gradschool/LLD Project/Writing/The last draft Thesis/2025 Redraft/All_Initial_Submission_Files/Reviews_Round_1/"/>
    </mc:Choice>
  </mc:AlternateContent>
  <xr:revisionPtr revIDLastSave="0" documentId="8_{D074A4D1-1088-A649-A45C-8E8798F2D54C}" xr6:coauthVersionLast="47" xr6:coauthVersionMax="47" xr10:uidLastSave="{00000000-0000-0000-0000-000000000000}"/>
  <bookViews>
    <workbookView xWindow="-45600" yWindow="-5260" windowWidth="38220" windowHeight="16340" xr2:uid="{0C125447-DD4C-0C41-AE59-4711EC540D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2" i="1"/>
</calcChain>
</file>

<file path=xl/sharedStrings.xml><?xml version="1.0" encoding="utf-8"?>
<sst xmlns="http://schemas.openxmlformats.org/spreadsheetml/2006/main" count="29" uniqueCount="29">
  <si>
    <t>SAMPLE</t>
  </si>
  <si>
    <t>CURRENT</t>
  </si>
  <si>
    <t>BEAMSIZE</t>
  </si>
  <si>
    <t>TOTAL</t>
  </si>
  <si>
    <t>SiO2</t>
  </si>
  <si>
    <t>TiO2</t>
  </si>
  <si>
    <t>Al2O3</t>
  </si>
  <si>
    <t>Cr2O3</t>
  </si>
  <si>
    <t>FeO</t>
  </si>
  <si>
    <t>MnO</t>
  </si>
  <si>
    <t>MgO</t>
  </si>
  <si>
    <t>CaO</t>
  </si>
  <si>
    <t>Na2O</t>
  </si>
  <si>
    <t>K2O</t>
  </si>
  <si>
    <t>02B_Site2_Grain1_Pt1</t>
  </si>
  <si>
    <t>02B_Site2_Grain1_Pt2</t>
  </si>
  <si>
    <t>02B_Site2_Grain1_Pt3</t>
  </si>
  <si>
    <t>02B_Site2_Grain1_Pt4</t>
  </si>
  <si>
    <t>02B_Site2_Grain1_Pt5</t>
  </si>
  <si>
    <t>02B_Site2_Grain1_Pt6</t>
  </si>
  <si>
    <t>02B_Site2_Grain1_Pt8</t>
  </si>
  <si>
    <t>02B_Site2_Grain1_Pt10</t>
  </si>
  <si>
    <t>15f_Site2_Grain2_Pt1</t>
  </si>
  <si>
    <t>15f_Site2_Grain2_Pt2</t>
  </si>
  <si>
    <t>15f_Site2_Grain2_Pt3</t>
  </si>
  <si>
    <t>15f_Site2_Grain2_Pt4</t>
  </si>
  <si>
    <t>15f_Site2_Grain2_Pt7</t>
  </si>
  <si>
    <t>15f_Site2_Grain2_Pt8</t>
  </si>
  <si>
    <t>MgNum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</si>
</sst>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64" fontId="0" fillId="0" borderId="0" xfId="0" applyNumberFormat="1"/>
    <xf numFmtId="164" fontId="0" fillId="0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B443-2605-DC49-94C6-B59CEC44880A}">
  <dimension ref="A1:O15"/>
  <sheetViews>
    <sheetView tabSelected="1" workbookViewId="0">
      <selection activeCell="P1" sqref="P1"/>
    </sheetView>
  </sheetViews>
  <sheetFormatPr baseColWidth="10" defaultRowHeight="16" x14ac:dyDescent="0.2"/>
  <cols>
    <col min="6" max="6" width="10.83203125" style="1"/>
  </cols>
  <sheetData>
    <row r="1" spans="1:15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s="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3</v>
      </c>
      <c r="O1" t="s">
        <v>28</v>
      </c>
    </row>
    <row r="2" spans="1:15" x14ac:dyDescent="0.2">
      <c r="A2" t="s">
        <v>14</v>
      </c>
      <c r="B2">
        <v>20</v>
      </c>
      <c r="C2">
        <v>3</v>
      </c>
      <c r="D2" s="2">
        <v>46.816099999999999</v>
      </c>
      <c r="E2" s="2">
        <v>1.7034899999999999</v>
      </c>
      <c r="F2" s="3">
        <v>7.5007799999999998</v>
      </c>
      <c r="G2" s="2">
        <v>4.1007000000000002E-2</v>
      </c>
      <c r="H2" s="2">
        <v>11.148400000000001</v>
      </c>
      <c r="I2" s="2">
        <v>0.327154</v>
      </c>
      <c r="J2" s="2">
        <v>15.804</v>
      </c>
      <c r="K2" s="2">
        <v>10.89</v>
      </c>
      <c r="L2" s="2">
        <v>1.7875799999999999</v>
      </c>
      <c r="M2" s="2">
        <v>0.35095399999999999</v>
      </c>
      <c r="N2" s="2">
        <v>96.369399999999999</v>
      </c>
      <c r="O2" s="4">
        <f>100*(J2/40.31)/((J2/40.31)+(H2/71.84))</f>
        <v>71.64274382665873</v>
      </c>
    </row>
    <row r="3" spans="1:15" x14ac:dyDescent="0.2">
      <c r="A3" t="s">
        <v>15</v>
      </c>
      <c r="B3">
        <v>20</v>
      </c>
      <c r="C3">
        <v>3</v>
      </c>
      <c r="D3" s="2">
        <v>41.420299999999997</v>
      </c>
      <c r="E3" s="2">
        <v>1.82396</v>
      </c>
      <c r="F3" s="3">
        <v>12.2119</v>
      </c>
      <c r="G3" s="2">
        <v>2.1198999999999999E-2</v>
      </c>
      <c r="H3" s="2">
        <v>12.948700000000001</v>
      </c>
      <c r="I3" s="2">
        <v>0.30576999999999999</v>
      </c>
      <c r="J3" s="2">
        <v>13.2211</v>
      </c>
      <c r="K3" s="2">
        <v>11.130800000000001</v>
      </c>
      <c r="L3" s="2">
        <v>2.3480500000000002</v>
      </c>
      <c r="M3" s="2">
        <v>0.62052799999999997</v>
      </c>
      <c r="N3" s="2">
        <v>96.052199999999999</v>
      </c>
      <c r="O3" s="4">
        <f t="shared" ref="O3:O15" si="0">100*(J3/40.31)/((J3/40.31)+(H3/71.84))</f>
        <v>64.534978725057726</v>
      </c>
    </row>
    <row r="4" spans="1:15" x14ac:dyDescent="0.2">
      <c r="A4" t="s">
        <v>16</v>
      </c>
      <c r="B4">
        <v>20</v>
      </c>
      <c r="C4">
        <v>3</v>
      </c>
      <c r="D4" s="2">
        <v>43.921799999999998</v>
      </c>
      <c r="E4" s="2">
        <v>2.0411600000000001</v>
      </c>
      <c r="F4" s="3">
        <v>10.1037</v>
      </c>
      <c r="G4" s="2">
        <v>3.5279999999999999E-3</v>
      </c>
      <c r="H4" s="2">
        <v>11.1723</v>
      </c>
      <c r="I4" s="2">
        <v>0.277254</v>
      </c>
      <c r="J4" s="2">
        <v>15.2279</v>
      </c>
      <c r="K4" s="2">
        <v>10.8644</v>
      </c>
      <c r="L4" s="2">
        <v>2.3343099999999999</v>
      </c>
      <c r="M4" s="2">
        <v>0.28599200000000002</v>
      </c>
      <c r="N4" s="2">
        <v>96.232299999999995</v>
      </c>
      <c r="O4" s="4">
        <f t="shared" si="0"/>
        <v>70.838093578800297</v>
      </c>
    </row>
    <row r="5" spans="1:15" x14ac:dyDescent="0.2">
      <c r="A5" t="s">
        <v>17</v>
      </c>
      <c r="B5">
        <v>20</v>
      </c>
      <c r="C5">
        <v>3</v>
      </c>
      <c r="D5" s="2">
        <v>45.478400000000001</v>
      </c>
      <c r="E5" s="2">
        <v>1.9901800000000001</v>
      </c>
      <c r="F5" s="3">
        <v>8.3857999999999997</v>
      </c>
      <c r="G5" s="2">
        <v>1.3710999999999999E-2</v>
      </c>
      <c r="H5" s="2">
        <v>11.039400000000001</v>
      </c>
      <c r="I5" s="2">
        <v>0.241644</v>
      </c>
      <c r="J5" s="2">
        <v>15.547700000000001</v>
      </c>
      <c r="K5" s="2">
        <v>10.9391</v>
      </c>
      <c r="L5" s="2">
        <v>2.0491299999999999</v>
      </c>
      <c r="M5" s="2">
        <v>0.41883700000000001</v>
      </c>
      <c r="N5" s="2">
        <v>96.103899999999996</v>
      </c>
      <c r="O5" s="4">
        <f t="shared" si="0"/>
        <v>71.509994325779658</v>
      </c>
    </row>
    <row r="6" spans="1:15" x14ac:dyDescent="0.2">
      <c r="A6" t="s">
        <v>18</v>
      </c>
      <c r="B6">
        <v>20</v>
      </c>
      <c r="C6">
        <v>3</v>
      </c>
      <c r="D6" s="2">
        <v>44.518000000000001</v>
      </c>
      <c r="E6" s="2">
        <v>1.73359</v>
      </c>
      <c r="F6" s="3">
        <v>9.3439700000000006</v>
      </c>
      <c r="G6" s="2">
        <v>1.0914E-2</v>
      </c>
      <c r="H6" s="2">
        <v>11.894299999999999</v>
      </c>
      <c r="I6" s="2">
        <v>0.26802500000000001</v>
      </c>
      <c r="J6" s="2">
        <v>14.560700000000001</v>
      </c>
      <c r="K6" s="2">
        <v>11.152900000000001</v>
      </c>
      <c r="L6" s="2">
        <v>2.1032500000000001</v>
      </c>
      <c r="M6" s="2">
        <v>0.37063800000000002</v>
      </c>
      <c r="N6" s="2">
        <v>95.956299999999999</v>
      </c>
      <c r="O6" s="4">
        <f t="shared" si="0"/>
        <v>68.570353469064514</v>
      </c>
    </row>
    <row r="7" spans="1:15" x14ac:dyDescent="0.2">
      <c r="A7" t="s">
        <v>19</v>
      </c>
      <c r="B7">
        <v>20</v>
      </c>
      <c r="C7">
        <v>3</v>
      </c>
      <c r="D7" s="2">
        <v>43.876100000000001</v>
      </c>
      <c r="E7" s="2">
        <v>1.7568999999999999</v>
      </c>
      <c r="F7" s="3">
        <v>10.060499999999999</v>
      </c>
      <c r="G7" s="2">
        <v>9.1899999999999996E-2</v>
      </c>
      <c r="H7" s="2">
        <v>11.299200000000001</v>
      </c>
      <c r="I7" s="2">
        <v>0.262909</v>
      </c>
      <c r="J7" s="2">
        <v>15.151899999999999</v>
      </c>
      <c r="K7" s="2">
        <v>10.8683</v>
      </c>
      <c r="L7" s="2">
        <v>2.3397100000000002</v>
      </c>
      <c r="M7" s="2">
        <v>0.32006000000000001</v>
      </c>
      <c r="N7" s="2">
        <v>96.027500000000003</v>
      </c>
      <c r="O7" s="4">
        <f t="shared" si="0"/>
        <v>70.500278899399035</v>
      </c>
    </row>
    <row r="8" spans="1:15" x14ac:dyDescent="0.2">
      <c r="A8" t="s">
        <v>20</v>
      </c>
      <c r="B8">
        <v>20</v>
      </c>
      <c r="C8">
        <v>3</v>
      </c>
      <c r="D8" s="2">
        <v>45.022500000000001</v>
      </c>
      <c r="E8" s="2">
        <v>1.65707</v>
      </c>
      <c r="F8" s="3">
        <v>8.9719800000000003</v>
      </c>
      <c r="G8" s="2">
        <v>2.0065E-2</v>
      </c>
      <c r="H8" s="2">
        <v>11.499599999999999</v>
      </c>
      <c r="I8" s="2">
        <v>0.28836800000000001</v>
      </c>
      <c r="J8" s="2">
        <v>15.2475</v>
      </c>
      <c r="K8" s="2">
        <v>10.9148</v>
      </c>
      <c r="L8" s="2">
        <v>2.1179999999999999</v>
      </c>
      <c r="M8" s="2">
        <v>0.32257599999999997</v>
      </c>
      <c r="N8" s="2">
        <v>96.062399999999997</v>
      </c>
      <c r="O8" s="4">
        <f t="shared" si="0"/>
        <v>70.264919445903075</v>
      </c>
    </row>
    <row r="9" spans="1:15" x14ac:dyDescent="0.2">
      <c r="A9" t="s">
        <v>21</v>
      </c>
      <c r="B9">
        <v>20</v>
      </c>
      <c r="C9">
        <v>3</v>
      </c>
      <c r="D9" s="2">
        <v>45.930599999999998</v>
      </c>
      <c r="E9" s="2">
        <v>1.6216999999999999</v>
      </c>
      <c r="F9" s="3">
        <v>8.0995699999999999</v>
      </c>
      <c r="G9" s="2">
        <v>2.2950000000000002E-3</v>
      </c>
      <c r="H9" s="2">
        <v>11.630100000000001</v>
      </c>
      <c r="I9" s="2">
        <v>0.28118799999999999</v>
      </c>
      <c r="J9" s="2">
        <v>15.201499999999999</v>
      </c>
      <c r="K9" s="2">
        <v>10.759600000000001</v>
      </c>
      <c r="L9" s="2">
        <v>2.0624400000000001</v>
      </c>
      <c r="M9" s="2">
        <v>0.39665099999999998</v>
      </c>
      <c r="N9" s="2">
        <v>95.985600000000005</v>
      </c>
      <c r="O9" s="4">
        <f t="shared" si="0"/>
        <v>69.965160555178883</v>
      </c>
    </row>
    <row r="10" spans="1:15" x14ac:dyDescent="0.2">
      <c r="A10" t="s">
        <v>22</v>
      </c>
      <c r="B10">
        <v>20</v>
      </c>
      <c r="C10">
        <v>3</v>
      </c>
      <c r="D10" s="2">
        <v>48.4574</v>
      </c>
      <c r="E10" s="2">
        <v>1.4089799999999999</v>
      </c>
      <c r="F10" s="3">
        <v>6.8917900000000003</v>
      </c>
      <c r="G10" s="2">
        <v>6.8145999999999998E-2</v>
      </c>
      <c r="H10" s="2">
        <v>9.2335700000000003</v>
      </c>
      <c r="I10" s="2">
        <v>0.22338</v>
      </c>
      <c r="J10" s="2">
        <v>17.5441</v>
      </c>
      <c r="K10" s="2">
        <v>10.906599999999999</v>
      </c>
      <c r="L10" s="2">
        <v>1.6616299999999999</v>
      </c>
      <c r="M10" s="2">
        <v>0.30924000000000001</v>
      </c>
      <c r="N10" s="2">
        <v>96.704800000000006</v>
      </c>
      <c r="O10" s="4">
        <f t="shared" si="0"/>
        <v>77.201317996498631</v>
      </c>
    </row>
    <row r="11" spans="1:15" x14ac:dyDescent="0.2">
      <c r="A11" t="s">
        <v>23</v>
      </c>
      <c r="B11">
        <v>20</v>
      </c>
      <c r="C11">
        <v>3</v>
      </c>
      <c r="D11" s="2">
        <v>47.161200000000001</v>
      </c>
      <c r="E11" s="2">
        <v>1.6128100000000001</v>
      </c>
      <c r="F11" s="3">
        <v>7.6552100000000003</v>
      </c>
      <c r="G11" s="2">
        <v>9.1916999999999999E-2</v>
      </c>
      <c r="H11" s="2">
        <v>9.6889199999999995</v>
      </c>
      <c r="I11" s="2">
        <v>0.233491</v>
      </c>
      <c r="J11" s="2">
        <v>16.738</v>
      </c>
      <c r="K11" s="2">
        <v>10.9521</v>
      </c>
      <c r="L11" s="2">
        <v>1.72332</v>
      </c>
      <c r="M11" s="2">
        <v>0.37846099999999999</v>
      </c>
      <c r="N11" s="2">
        <v>96.235500000000002</v>
      </c>
      <c r="O11" s="4">
        <f t="shared" si="0"/>
        <v>75.482995466623549</v>
      </c>
    </row>
    <row r="12" spans="1:15" x14ac:dyDescent="0.2">
      <c r="A12" t="s">
        <v>24</v>
      </c>
      <c r="B12">
        <v>20</v>
      </c>
      <c r="C12">
        <v>3</v>
      </c>
      <c r="D12" s="2">
        <v>43.505000000000003</v>
      </c>
      <c r="E12" s="2">
        <v>1.53451</v>
      </c>
      <c r="F12" s="3">
        <v>11.572800000000001</v>
      </c>
      <c r="G12" s="2">
        <v>0.18987100000000001</v>
      </c>
      <c r="H12" s="2">
        <v>9.8275799999999993</v>
      </c>
      <c r="I12" s="2">
        <v>0.14638200000000001</v>
      </c>
      <c r="J12" s="2">
        <v>15.605600000000001</v>
      </c>
      <c r="K12" s="2">
        <v>11.1328</v>
      </c>
      <c r="L12" s="2">
        <v>2.31196</v>
      </c>
      <c r="M12" s="2">
        <v>0.39596700000000001</v>
      </c>
      <c r="N12" s="2">
        <v>96.222399999999993</v>
      </c>
      <c r="O12" s="4">
        <f t="shared" si="0"/>
        <v>73.890382654408626</v>
      </c>
    </row>
    <row r="13" spans="1:15" x14ac:dyDescent="0.2">
      <c r="A13" t="s">
        <v>25</v>
      </c>
      <c r="B13">
        <v>20</v>
      </c>
      <c r="C13">
        <v>3</v>
      </c>
      <c r="D13" s="2">
        <v>42.821199999999997</v>
      </c>
      <c r="E13" s="2">
        <v>1.6280399999999999</v>
      </c>
      <c r="F13" s="3">
        <v>11.9032</v>
      </c>
      <c r="G13" s="2">
        <v>0.221826</v>
      </c>
      <c r="H13" s="2">
        <v>10.5587</v>
      </c>
      <c r="I13" s="2">
        <v>0.188611</v>
      </c>
      <c r="J13" s="2">
        <v>15.0868</v>
      </c>
      <c r="K13" s="2">
        <v>11.2073</v>
      </c>
      <c r="L13" s="2">
        <v>2.2883100000000001</v>
      </c>
      <c r="M13" s="2">
        <v>0.47712100000000002</v>
      </c>
      <c r="N13" s="2">
        <v>96.381100000000004</v>
      </c>
      <c r="O13" s="4">
        <f t="shared" si="0"/>
        <v>71.803024355165604</v>
      </c>
    </row>
    <row r="14" spans="1:15" s="1" customFormat="1" x14ac:dyDescent="0.2">
      <c r="A14" s="1" t="s">
        <v>26</v>
      </c>
      <c r="B14" s="1">
        <v>20</v>
      </c>
      <c r="C14" s="1">
        <v>3</v>
      </c>
      <c r="D14" s="3">
        <v>46.279200000000003</v>
      </c>
      <c r="E14" s="3">
        <v>1.93075</v>
      </c>
      <c r="F14" s="3">
        <v>7.8848700000000003</v>
      </c>
      <c r="G14" s="3">
        <v>2.1402999999999998E-2</v>
      </c>
      <c r="H14" s="3">
        <v>11.465199999999999</v>
      </c>
      <c r="I14" s="3">
        <v>0.258268</v>
      </c>
      <c r="J14" s="3">
        <v>15.608499999999999</v>
      </c>
      <c r="K14" s="3">
        <v>10.986000000000001</v>
      </c>
      <c r="L14" s="3">
        <v>1.78312</v>
      </c>
      <c r="M14" s="3">
        <v>0.34445900000000002</v>
      </c>
      <c r="N14" s="3">
        <v>96.561899999999994</v>
      </c>
      <c r="O14" s="4">
        <f t="shared" si="0"/>
        <v>70.813453230069697</v>
      </c>
    </row>
    <row r="15" spans="1:15" x14ac:dyDescent="0.2">
      <c r="A15" t="s">
        <v>27</v>
      </c>
      <c r="B15">
        <v>20</v>
      </c>
      <c r="C15">
        <v>3</v>
      </c>
      <c r="D15" s="2">
        <v>44.008899999999997</v>
      </c>
      <c r="E15" s="2">
        <v>2.2055699999999998</v>
      </c>
      <c r="F15" s="3">
        <v>9.6645699999999994</v>
      </c>
      <c r="G15" s="2">
        <v>4.8619999999999997E-2</v>
      </c>
      <c r="H15" s="2">
        <v>12.3628</v>
      </c>
      <c r="I15" s="2">
        <v>0.26822800000000002</v>
      </c>
      <c r="J15" s="2">
        <v>14.1989</v>
      </c>
      <c r="K15" s="2">
        <v>11.074400000000001</v>
      </c>
      <c r="L15" s="2">
        <v>2.0408599999999999</v>
      </c>
      <c r="M15" s="2">
        <v>0.43837399999999999</v>
      </c>
      <c r="N15" s="2">
        <v>96.311199999999999</v>
      </c>
      <c r="O15" s="4">
        <f t="shared" si="0"/>
        <v>67.179490271824449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Goltz</dc:creator>
  <cp:lastModifiedBy>Andrea Goltz</cp:lastModifiedBy>
  <dcterms:created xsi:type="dcterms:W3CDTF">2026-03-02T20:17:26Z</dcterms:created>
  <dcterms:modified xsi:type="dcterms:W3CDTF">2026-03-02T20:26:28Z</dcterms:modified>
</cp:coreProperties>
</file>